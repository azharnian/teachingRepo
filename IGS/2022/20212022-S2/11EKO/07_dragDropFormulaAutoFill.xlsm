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0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nasazhar/Dropbox/My Mac (Anass-Air)/Desktop/2022/11EKO/"/>
    </mc:Choice>
  </mc:AlternateContent>
  <xr:revisionPtr revIDLastSave="0" documentId="13_ncr:1_{6C2FCB57-12E9-1444-AAE5-E0D8E254C573}" xr6:coauthVersionLast="47" xr6:coauthVersionMax="47" xr10:uidLastSave="{00000000-0000-0000-0000-000000000000}"/>
  <bookViews>
    <workbookView xWindow="0" yWindow="500" windowWidth="28800" windowHeight="16620" activeTab="1" xr2:uid="{5ABF7372-0EC1-8F43-B3AF-D5D7385BD2D5}"/>
  </bookViews>
  <sheets>
    <sheet name="Sheet1" sheetId="1" r:id="rId1"/>
    <sheet name="Sheet2" sheetId="2" r:id="rId2"/>
    <sheet name="Sheet3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25" i="1" l="1"/>
  <c r="D25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" i="1"/>
</calcChain>
</file>

<file path=xl/sharedStrings.xml><?xml version="1.0" encoding="utf-8"?>
<sst xmlns="http://schemas.openxmlformats.org/spreadsheetml/2006/main" count="150" uniqueCount="64">
  <si>
    <t>Store</t>
  </si>
  <si>
    <t>Sales Rep</t>
  </si>
  <si>
    <t>Sales</t>
  </si>
  <si>
    <t>PIM</t>
  </si>
  <si>
    <t>PICON</t>
  </si>
  <si>
    <t>PTC</t>
  </si>
  <si>
    <t>OPI</t>
  </si>
  <si>
    <t>IP</t>
  </si>
  <si>
    <t>Joko</t>
  </si>
  <si>
    <t>Susi</t>
  </si>
  <si>
    <t>Budi</t>
  </si>
  <si>
    <t>Ani</t>
  </si>
  <si>
    <t>Yono</t>
  </si>
  <si>
    <t>Date</t>
  </si>
  <si>
    <t>Profit</t>
  </si>
  <si>
    <t>Category</t>
  </si>
  <si>
    <t>Total</t>
  </si>
  <si>
    <t>No</t>
  </si>
  <si>
    <t>Nama Depan</t>
  </si>
  <si>
    <t>Nama Belakang</t>
  </si>
  <si>
    <t>Asal</t>
  </si>
  <si>
    <t>Nilai USM</t>
  </si>
  <si>
    <t>Potongan Beasiswa</t>
  </si>
  <si>
    <t>Sumbangan Masuk</t>
  </si>
  <si>
    <t>Kelas</t>
  </si>
  <si>
    <t>Email</t>
  </si>
  <si>
    <t>Andi</t>
  </si>
  <si>
    <t>Gunawan</t>
  </si>
  <si>
    <t>Susilo</t>
  </si>
  <si>
    <t>Cindy</t>
  </si>
  <si>
    <t>Siregar</t>
  </si>
  <si>
    <t>Denny</t>
  </si>
  <si>
    <t>Caknan</t>
  </si>
  <si>
    <t>Emy</t>
  </si>
  <si>
    <t>Sulistyawati</t>
  </si>
  <si>
    <t>Febri</t>
  </si>
  <si>
    <t>Agus</t>
  </si>
  <si>
    <t>Gaga</t>
  </si>
  <si>
    <t>Muhammad</t>
  </si>
  <si>
    <t>Heni</t>
  </si>
  <si>
    <t>Putri</t>
  </si>
  <si>
    <t>Indri</t>
  </si>
  <si>
    <t>Ong</t>
  </si>
  <si>
    <t>Jeremy</t>
  </si>
  <si>
    <t>Tety</t>
  </si>
  <si>
    <t>Negeri</t>
  </si>
  <si>
    <t>Swasta</t>
  </si>
  <si>
    <t>TOTAL</t>
  </si>
  <si>
    <t>Nilai USM &gt;=90</t>
  </si>
  <si>
    <t>Nilai USM &gt;=80</t>
  </si>
  <si>
    <t>Nilai USM &gt;=70</t>
  </si>
  <si>
    <t>&lt;70%</t>
  </si>
  <si>
    <t>A = Nilai Sumbangan &gt;= 7000000 dan Nilai USM  &gt;= 90</t>
  </si>
  <si>
    <t>B = Nilai Sumbangan &gt;= 7000000 dan Nilai USM  &lt; 90</t>
  </si>
  <si>
    <t>C = Nilai Sumbangan &gt;= 5000000 dan Nilai USM  &lt; 90</t>
  </si>
  <si>
    <t>D = Nilai Sumbangan &lt; 5000000 dan Nilai USM  &lt; 90</t>
  </si>
  <si>
    <t>=IF</t>
  </si>
  <si>
    <t>=IFS</t>
  </si>
  <si>
    <t>IF(__,True, IF(__))</t>
  </si>
  <si>
    <t>=lower</t>
  </si>
  <si>
    <t>=concat</t>
  </si>
  <si>
    <t>andi.g@igs.com</t>
  </si>
  <si>
    <t>=left</t>
  </si>
  <si>
    <t>PAKAI VB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</si>
</sst>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409]d\-mmm\-yyyy;@"/>
    <numFmt numFmtId="165" formatCode="[$Rp-421]#,##0"/>
    <numFmt numFmtId="166" formatCode="_-[$Rp-421]* #,##0_-;\-[$Rp-421]* #,##0_-;_-[$Rp-421]* &quot;-&quot;_-;_-@_-"/>
  </numFmts>
  <fonts count="3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164" fontId="0" fillId="0" borderId="0" xfId="0" applyNumberFormat="1"/>
    <xf numFmtId="164" fontId="1" fillId="2" borderId="0" xfId="0" applyNumberFormat="1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165" fontId="1" fillId="2" borderId="0" xfId="0" applyNumberFormat="1" applyFont="1" applyFill="1" applyAlignment="1">
      <alignment horizontal="center" vertical="center"/>
    </xf>
    <xf numFmtId="165" fontId="0" fillId="0" borderId="0" xfId="0" applyNumberFormat="1"/>
    <xf numFmtId="166" fontId="1" fillId="2" borderId="0" xfId="0" applyNumberFormat="1" applyFont="1" applyFill="1" applyAlignment="1">
      <alignment horizontal="center" vertical="center"/>
    </xf>
    <xf numFmtId="166" fontId="0" fillId="0" borderId="0" xfId="0" applyNumberFormat="1"/>
    <xf numFmtId="0" fontId="0" fillId="3" borderId="0" xfId="0" applyFill="1"/>
    <xf numFmtId="9" fontId="0" fillId="0" borderId="0" xfId="0" applyNumberFormat="1"/>
    <xf numFmtId="20" fontId="0" fillId="3" borderId="0" xfId="0" quotePrefix="1" applyNumberFormat="1" applyFill="1"/>
    <xf numFmtId="0" fontId="0" fillId="3" borderId="0" xfId="0" quotePrefix="1" applyFill="1"/>
    <xf numFmtId="0" fontId="0" fillId="4" borderId="0" xfId="0" applyFill="1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65F534-6809-6F46-BACE-0E10C050E962}">
  <sheetPr codeName="Sheet1"/>
  <dimension ref="A1:F25"/>
  <sheetViews>
    <sheetView zoomScale="120" zoomScaleNormal="120" workbookViewId="0">
      <selection activeCell="E2" sqref="E2"/>
    </sheetView>
  </sheetViews>
  <sheetFormatPr baseColWidth="10" defaultRowHeight="16" x14ac:dyDescent="0.2"/>
  <cols>
    <col min="1" max="1" width="11.83203125" style="1" bestFit="1" customWidth="1"/>
    <col min="4" max="4" width="14.83203125" style="5" bestFit="1" customWidth="1"/>
    <col min="5" max="5" width="14.6640625" style="7" bestFit="1" customWidth="1"/>
  </cols>
  <sheetData>
    <row r="1" spans="1:6" x14ac:dyDescent="0.2">
      <c r="A1" s="2" t="s">
        <v>13</v>
      </c>
      <c r="B1" s="3" t="s">
        <v>0</v>
      </c>
      <c r="C1" s="3" t="s">
        <v>1</v>
      </c>
      <c r="D1" s="4" t="s">
        <v>2</v>
      </c>
      <c r="E1" s="6" t="s">
        <v>14</v>
      </c>
      <c r="F1" s="3" t="s">
        <v>15</v>
      </c>
    </row>
    <row r="2" spans="1:6" x14ac:dyDescent="0.2">
      <c r="A2" s="1">
        <v>44630</v>
      </c>
      <c r="B2" t="s">
        <v>3</v>
      </c>
      <c r="C2" t="s">
        <v>8</v>
      </c>
      <c r="D2" s="5">
        <v>50000000</v>
      </c>
      <c r="E2" s="7">
        <f>D2*0.2</f>
        <v>10000000</v>
      </c>
      <c r="F2" t="str">
        <f>IF(E2 &gt; 10000000,"Large", "Small")</f>
        <v>Small</v>
      </c>
    </row>
    <row r="3" spans="1:6" x14ac:dyDescent="0.2">
      <c r="A3" s="1">
        <v>44630</v>
      </c>
      <c r="B3" t="s">
        <v>4</v>
      </c>
      <c r="C3" t="s">
        <v>9</v>
      </c>
      <c r="D3" s="5">
        <v>90000000</v>
      </c>
      <c r="E3" s="7">
        <f t="shared" ref="E3:E24" si="0">D3*0.2</f>
        <v>18000000</v>
      </c>
      <c r="F3" t="str">
        <f t="shared" ref="F3:F24" si="1">IF(E3 &gt; 10000000,"Large", "Small")</f>
        <v>Large</v>
      </c>
    </row>
    <row r="4" spans="1:6" x14ac:dyDescent="0.2">
      <c r="A4" s="1">
        <v>44631</v>
      </c>
      <c r="B4" t="s">
        <v>5</v>
      </c>
      <c r="C4" t="s">
        <v>10</v>
      </c>
      <c r="D4" s="5">
        <v>45000000</v>
      </c>
      <c r="E4" s="7">
        <f t="shared" si="0"/>
        <v>9000000</v>
      </c>
      <c r="F4" t="str">
        <f t="shared" si="1"/>
        <v>Small</v>
      </c>
    </row>
    <row r="5" spans="1:6" x14ac:dyDescent="0.2">
      <c r="A5" s="1">
        <v>44632</v>
      </c>
      <c r="B5" t="s">
        <v>6</v>
      </c>
      <c r="C5" t="s">
        <v>11</v>
      </c>
      <c r="D5" s="5">
        <v>60000000</v>
      </c>
      <c r="E5" s="7">
        <f t="shared" si="0"/>
        <v>12000000</v>
      </c>
      <c r="F5" t="str">
        <f t="shared" si="1"/>
        <v>Large</v>
      </c>
    </row>
    <row r="6" spans="1:6" x14ac:dyDescent="0.2">
      <c r="A6" s="1">
        <v>44633</v>
      </c>
      <c r="B6" t="s">
        <v>7</v>
      </c>
      <c r="C6" t="s">
        <v>12</v>
      </c>
      <c r="D6" s="5">
        <v>25000000</v>
      </c>
      <c r="E6" s="7">
        <f t="shared" si="0"/>
        <v>5000000</v>
      </c>
      <c r="F6" t="str">
        <f t="shared" si="1"/>
        <v>Small</v>
      </c>
    </row>
    <row r="7" spans="1:6" x14ac:dyDescent="0.2">
      <c r="A7" s="1">
        <v>44630</v>
      </c>
      <c r="B7" t="s">
        <v>3</v>
      </c>
      <c r="C7" t="s">
        <v>8</v>
      </c>
      <c r="D7" s="5">
        <v>50000000</v>
      </c>
      <c r="E7" s="7">
        <f t="shared" si="0"/>
        <v>10000000</v>
      </c>
      <c r="F7" t="str">
        <f t="shared" si="1"/>
        <v>Small</v>
      </c>
    </row>
    <row r="8" spans="1:6" x14ac:dyDescent="0.2">
      <c r="A8" s="1">
        <v>44630</v>
      </c>
      <c r="B8" t="s">
        <v>4</v>
      </c>
      <c r="C8" t="s">
        <v>9</v>
      </c>
      <c r="D8" s="5">
        <v>90000000</v>
      </c>
      <c r="E8" s="7">
        <f t="shared" si="0"/>
        <v>18000000</v>
      </c>
      <c r="F8" t="str">
        <f t="shared" si="1"/>
        <v>Large</v>
      </c>
    </row>
    <row r="9" spans="1:6" x14ac:dyDescent="0.2">
      <c r="A9" s="1">
        <v>44631</v>
      </c>
      <c r="B9" t="s">
        <v>5</v>
      </c>
      <c r="C9" t="s">
        <v>10</v>
      </c>
      <c r="D9" s="5">
        <v>45000000</v>
      </c>
      <c r="E9" s="7">
        <f t="shared" si="0"/>
        <v>9000000</v>
      </c>
      <c r="F9" t="str">
        <f t="shared" si="1"/>
        <v>Small</v>
      </c>
    </row>
    <row r="10" spans="1:6" x14ac:dyDescent="0.2">
      <c r="A10" s="1">
        <v>44632</v>
      </c>
      <c r="B10" t="s">
        <v>6</v>
      </c>
      <c r="C10" t="s">
        <v>11</v>
      </c>
      <c r="D10" s="5">
        <v>60000000</v>
      </c>
      <c r="E10" s="7">
        <f t="shared" si="0"/>
        <v>12000000</v>
      </c>
      <c r="F10" t="str">
        <f t="shared" si="1"/>
        <v>Large</v>
      </c>
    </row>
    <row r="11" spans="1:6" x14ac:dyDescent="0.2">
      <c r="A11" s="1">
        <v>44633</v>
      </c>
      <c r="B11" t="s">
        <v>7</v>
      </c>
      <c r="C11" t="s">
        <v>12</v>
      </c>
      <c r="D11" s="5">
        <v>25000000</v>
      </c>
      <c r="E11" s="7">
        <f t="shared" si="0"/>
        <v>5000000</v>
      </c>
      <c r="F11" t="str">
        <f t="shared" si="1"/>
        <v>Small</v>
      </c>
    </row>
    <row r="12" spans="1:6" x14ac:dyDescent="0.2">
      <c r="A12" s="1">
        <v>44630</v>
      </c>
      <c r="B12" t="s">
        <v>3</v>
      </c>
      <c r="C12" t="s">
        <v>8</v>
      </c>
      <c r="D12" s="5">
        <v>50000000</v>
      </c>
      <c r="E12" s="7">
        <f t="shared" si="0"/>
        <v>10000000</v>
      </c>
      <c r="F12" t="str">
        <f t="shared" si="1"/>
        <v>Small</v>
      </c>
    </row>
    <row r="13" spans="1:6" x14ac:dyDescent="0.2">
      <c r="A13" s="1">
        <v>44630</v>
      </c>
      <c r="B13" t="s">
        <v>4</v>
      </c>
      <c r="C13" t="s">
        <v>9</v>
      </c>
      <c r="D13" s="5">
        <v>90000000</v>
      </c>
      <c r="E13" s="7">
        <f t="shared" si="0"/>
        <v>18000000</v>
      </c>
      <c r="F13" t="str">
        <f t="shared" si="1"/>
        <v>Large</v>
      </c>
    </row>
    <row r="14" spans="1:6" x14ac:dyDescent="0.2">
      <c r="A14" s="1">
        <v>44631</v>
      </c>
      <c r="B14" t="s">
        <v>5</v>
      </c>
      <c r="C14" t="s">
        <v>10</v>
      </c>
      <c r="D14" s="5">
        <v>45000000</v>
      </c>
      <c r="E14" s="7">
        <f t="shared" si="0"/>
        <v>9000000</v>
      </c>
      <c r="F14" t="str">
        <f t="shared" si="1"/>
        <v>Small</v>
      </c>
    </row>
    <row r="15" spans="1:6" x14ac:dyDescent="0.2">
      <c r="A15" s="1">
        <v>44632</v>
      </c>
      <c r="B15" t="s">
        <v>6</v>
      </c>
      <c r="C15" t="s">
        <v>11</v>
      </c>
      <c r="D15" s="5">
        <v>60000000</v>
      </c>
      <c r="E15" s="7">
        <f t="shared" si="0"/>
        <v>12000000</v>
      </c>
      <c r="F15" t="str">
        <f t="shared" si="1"/>
        <v>Large</v>
      </c>
    </row>
    <row r="16" spans="1:6" x14ac:dyDescent="0.2">
      <c r="A16" s="1">
        <v>44630</v>
      </c>
      <c r="B16" t="s">
        <v>3</v>
      </c>
      <c r="C16" t="s">
        <v>8</v>
      </c>
      <c r="D16" s="5">
        <v>50000000</v>
      </c>
      <c r="E16" s="7">
        <f t="shared" si="0"/>
        <v>10000000</v>
      </c>
      <c r="F16" t="str">
        <f t="shared" si="1"/>
        <v>Small</v>
      </c>
    </row>
    <row r="17" spans="1:6" x14ac:dyDescent="0.2">
      <c r="A17" s="1">
        <v>44630</v>
      </c>
      <c r="B17" t="s">
        <v>4</v>
      </c>
      <c r="C17" t="s">
        <v>9</v>
      </c>
      <c r="D17" s="5">
        <v>90000000</v>
      </c>
      <c r="E17" s="7">
        <f t="shared" si="0"/>
        <v>18000000</v>
      </c>
      <c r="F17" t="str">
        <f t="shared" si="1"/>
        <v>Large</v>
      </c>
    </row>
    <row r="18" spans="1:6" x14ac:dyDescent="0.2">
      <c r="A18" s="1">
        <v>44631</v>
      </c>
      <c r="B18" t="s">
        <v>5</v>
      </c>
      <c r="C18" t="s">
        <v>10</v>
      </c>
      <c r="D18" s="5">
        <v>45000000</v>
      </c>
      <c r="E18" s="7">
        <f t="shared" si="0"/>
        <v>9000000</v>
      </c>
      <c r="F18" t="str">
        <f t="shared" si="1"/>
        <v>Small</v>
      </c>
    </row>
    <row r="19" spans="1:6" x14ac:dyDescent="0.2">
      <c r="A19" s="1">
        <v>44632</v>
      </c>
      <c r="B19" t="s">
        <v>6</v>
      </c>
      <c r="C19" t="s">
        <v>11</v>
      </c>
      <c r="D19" s="5">
        <v>60000000</v>
      </c>
      <c r="E19" s="7">
        <f t="shared" si="0"/>
        <v>12000000</v>
      </c>
      <c r="F19" t="str">
        <f t="shared" si="1"/>
        <v>Large</v>
      </c>
    </row>
    <row r="20" spans="1:6" x14ac:dyDescent="0.2">
      <c r="A20" s="1">
        <v>44633</v>
      </c>
      <c r="B20" t="s">
        <v>7</v>
      </c>
      <c r="C20" t="s">
        <v>12</v>
      </c>
      <c r="D20" s="5">
        <v>25000000</v>
      </c>
      <c r="E20" s="7">
        <f t="shared" si="0"/>
        <v>5000000</v>
      </c>
      <c r="F20" t="str">
        <f t="shared" si="1"/>
        <v>Small</v>
      </c>
    </row>
    <row r="21" spans="1:6" x14ac:dyDescent="0.2">
      <c r="A21" s="1">
        <v>44630</v>
      </c>
      <c r="B21" t="s">
        <v>3</v>
      </c>
      <c r="C21" t="s">
        <v>8</v>
      </c>
      <c r="D21" s="5">
        <v>50000000</v>
      </c>
      <c r="E21" s="7">
        <f t="shared" si="0"/>
        <v>10000000</v>
      </c>
      <c r="F21" t="str">
        <f t="shared" si="1"/>
        <v>Small</v>
      </c>
    </row>
    <row r="22" spans="1:6" x14ac:dyDescent="0.2">
      <c r="A22" s="1">
        <v>44630</v>
      </c>
      <c r="B22" t="s">
        <v>4</v>
      </c>
      <c r="C22" t="s">
        <v>9</v>
      </c>
      <c r="D22" s="5">
        <v>90000000</v>
      </c>
      <c r="E22" s="7">
        <f t="shared" si="0"/>
        <v>18000000</v>
      </c>
      <c r="F22" t="str">
        <f t="shared" si="1"/>
        <v>Large</v>
      </c>
    </row>
    <row r="23" spans="1:6" x14ac:dyDescent="0.2">
      <c r="A23" s="1">
        <v>44631</v>
      </c>
      <c r="B23" t="s">
        <v>5</v>
      </c>
      <c r="C23" t="s">
        <v>10</v>
      </c>
      <c r="D23" s="5">
        <v>45000000</v>
      </c>
      <c r="E23" s="7">
        <f t="shared" si="0"/>
        <v>9000000</v>
      </c>
      <c r="F23" t="str">
        <f t="shared" si="1"/>
        <v>Small</v>
      </c>
    </row>
    <row r="24" spans="1:6" x14ac:dyDescent="0.2">
      <c r="A24" s="1">
        <v>44632</v>
      </c>
      <c r="B24" t="s">
        <v>6</v>
      </c>
      <c r="C24" t="s">
        <v>11</v>
      </c>
      <c r="D24" s="5">
        <v>60000000</v>
      </c>
      <c r="E24" s="7">
        <f t="shared" si="0"/>
        <v>12000000</v>
      </c>
      <c r="F24" t="str">
        <f t="shared" si="1"/>
        <v>Large</v>
      </c>
    </row>
    <row r="25" spans="1:6" x14ac:dyDescent="0.2">
      <c r="C25" t="s">
        <v>16</v>
      </c>
      <c r="D25" s="5">
        <f>SUM(D2:D24)</f>
        <v>1300000000</v>
      </c>
      <c r="E25" s="7">
        <f>SUM(E2:E24)</f>
        <v>260000000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162795-96E1-D14A-B436-B20B8A5BC473}">
  <sheetPr codeName="Sheet2"/>
  <dimension ref="A1:K18"/>
  <sheetViews>
    <sheetView tabSelected="1" zoomScale="160" zoomScaleNormal="160" workbookViewId="0">
      <selection activeCell="F6" sqref="F6"/>
    </sheetView>
  </sheetViews>
  <sheetFormatPr baseColWidth="10" defaultRowHeight="16" x14ac:dyDescent="0.2"/>
  <cols>
    <col min="1" max="1" width="3.5" bestFit="1" customWidth="1"/>
    <col min="2" max="2" width="12" bestFit="1" customWidth="1"/>
    <col min="3" max="3" width="14.1640625" bestFit="1" customWidth="1"/>
    <col min="6" max="6" width="17.33203125" bestFit="1" customWidth="1"/>
    <col min="7" max="7" width="17.1640625" bestFit="1" customWidth="1"/>
    <col min="8" max="8" width="15.5" customWidth="1"/>
  </cols>
  <sheetData>
    <row r="1" spans="1:11" x14ac:dyDescent="0.2">
      <c r="A1" t="s">
        <v>17</v>
      </c>
      <c r="B1" t="s">
        <v>18</v>
      </c>
      <c r="C1" t="s">
        <v>19</v>
      </c>
      <c r="D1" t="s">
        <v>20</v>
      </c>
      <c r="E1" t="s">
        <v>21</v>
      </c>
      <c r="F1" t="s">
        <v>22</v>
      </c>
      <c r="G1" t="s">
        <v>23</v>
      </c>
      <c r="H1" t="s">
        <v>24</v>
      </c>
      <c r="I1" t="s">
        <v>25</v>
      </c>
    </row>
    <row r="2" spans="1:11" ht="26" x14ac:dyDescent="0.3">
      <c r="A2">
        <v>1</v>
      </c>
      <c r="B2" t="s">
        <v>26</v>
      </c>
      <c r="C2" t="s">
        <v>27</v>
      </c>
      <c r="D2" t="s">
        <v>45</v>
      </c>
      <c r="E2">
        <v>90</v>
      </c>
      <c r="F2" s="10" t="s">
        <v>56</v>
      </c>
      <c r="G2">
        <v>5000000</v>
      </c>
      <c r="H2" s="11" t="s">
        <v>57</v>
      </c>
      <c r="I2" s="8" t="s">
        <v>61</v>
      </c>
      <c r="K2" s="13" t="s">
        <v>63</v>
      </c>
    </row>
    <row r="3" spans="1:11" x14ac:dyDescent="0.2">
      <c r="A3">
        <v>2</v>
      </c>
      <c r="B3" t="s">
        <v>10</v>
      </c>
      <c r="C3" t="s">
        <v>28</v>
      </c>
      <c r="D3" t="s">
        <v>45</v>
      </c>
      <c r="E3">
        <v>90</v>
      </c>
      <c r="F3" s="8">
        <v>1</v>
      </c>
      <c r="G3">
        <v>6000000</v>
      </c>
      <c r="H3" s="11" t="s">
        <v>58</v>
      </c>
      <c r="I3" s="11" t="s">
        <v>59</v>
      </c>
    </row>
    <row r="4" spans="1:11" x14ac:dyDescent="0.2">
      <c r="A4">
        <v>3</v>
      </c>
      <c r="B4" t="s">
        <v>29</v>
      </c>
      <c r="C4" t="s">
        <v>30</v>
      </c>
      <c r="D4" t="s">
        <v>46</v>
      </c>
      <c r="E4">
        <v>85</v>
      </c>
      <c r="F4" s="8"/>
      <c r="G4">
        <v>10000000</v>
      </c>
      <c r="H4" s="8">
        <v>2</v>
      </c>
      <c r="I4" s="11" t="s">
        <v>60</v>
      </c>
    </row>
    <row r="5" spans="1:11" x14ac:dyDescent="0.2">
      <c r="A5">
        <v>4</v>
      </c>
      <c r="B5" t="s">
        <v>31</v>
      </c>
      <c r="C5" t="s">
        <v>32</v>
      </c>
      <c r="D5" t="s">
        <v>45</v>
      </c>
      <c r="E5">
        <v>80</v>
      </c>
      <c r="F5" s="8"/>
      <c r="G5">
        <v>10000000</v>
      </c>
      <c r="H5" s="8"/>
      <c r="I5" s="11" t="s">
        <v>62</v>
      </c>
    </row>
    <row r="6" spans="1:11" x14ac:dyDescent="0.2">
      <c r="A6">
        <v>5</v>
      </c>
      <c r="B6" t="s">
        <v>33</v>
      </c>
      <c r="C6" t="s">
        <v>34</v>
      </c>
      <c r="D6" t="s">
        <v>46</v>
      </c>
      <c r="E6">
        <v>87</v>
      </c>
      <c r="F6" s="8"/>
      <c r="G6">
        <v>7000000</v>
      </c>
      <c r="H6" s="8"/>
      <c r="I6" s="8">
        <v>3</v>
      </c>
    </row>
    <row r="7" spans="1:11" x14ac:dyDescent="0.2">
      <c r="A7">
        <v>6</v>
      </c>
      <c r="B7" t="s">
        <v>35</v>
      </c>
      <c r="C7" t="s">
        <v>36</v>
      </c>
      <c r="D7" t="s">
        <v>46</v>
      </c>
      <c r="E7">
        <v>70</v>
      </c>
      <c r="F7" s="8"/>
      <c r="G7">
        <v>8000000</v>
      </c>
      <c r="H7" s="8"/>
      <c r="I7" s="8"/>
    </row>
    <row r="8" spans="1:11" x14ac:dyDescent="0.2">
      <c r="A8">
        <v>7</v>
      </c>
      <c r="B8" t="s">
        <v>37</v>
      </c>
      <c r="C8" t="s">
        <v>38</v>
      </c>
      <c r="D8" t="s">
        <v>46</v>
      </c>
      <c r="E8">
        <v>60</v>
      </c>
      <c r="F8" s="8"/>
      <c r="G8">
        <v>6000000</v>
      </c>
      <c r="H8" s="8"/>
      <c r="I8" s="8"/>
    </row>
    <row r="9" spans="1:11" x14ac:dyDescent="0.2">
      <c r="A9">
        <v>8</v>
      </c>
      <c r="B9" t="s">
        <v>39</v>
      </c>
      <c r="C9" t="s">
        <v>40</v>
      </c>
      <c r="D9" t="s">
        <v>45</v>
      </c>
      <c r="E9">
        <v>85</v>
      </c>
      <c r="F9" s="8"/>
      <c r="G9">
        <v>5000000</v>
      </c>
      <c r="H9" s="8"/>
      <c r="I9" s="8"/>
    </row>
    <row r="10" spans="1:11" x14ac:dyDescent="0.2">
      <c r="A10">
        <v>9</v>
      </c>
      <c r="B10" t="s">
        <v>41</v>
      </c>
      <c r="C10" t="s">
        <v>42</v>
      </c>
      <c r="D10" t="s">
        <v>45</v>
      </c>
      <c r="E10">
        <v>79</v>
      </c>
      <c r="F10" s="8"/>
      <c r="G10">
        <v>5000000</v>
      </c>
      <c r="H10" s="8"/>
      <c r="I10" s="8"/>
    </row>
    <row r="11" spans="1:11" x14ac:dyDescent="0.2">
      <c r="A11">
        <v>10</v>
      </c>
      <c r="B11" t="s">
        <v>43</v>
      </c>
      <c r="C11" t="s">
        <v>44</v>
      </c>
      <c r="D11" t="s">
        <v>45</v>
      </c>
      <c r="E11">
        <v>90</v>
      </c>
      <c r="F11" s="8"/>
      <c r="G11">
        <v>10000000</v>
      </c>
      <c r="H11" s="8"/>
      <c r="I11" s="8"/>
    </row>
    <row r="12" spans="1:11" x14ac:dyDescent="0.2">
      <c r="E12" t="s">
        <v>47</v>
      </c>
      <c r="F12" s="12">
        <v>4</v>
      </c>
    </row>
    <row r="15" spans="1:11" x14ac:dyDescent="0.2">
      <c r="B15" t="s">
        <v>22</v>
      </c>
      <c r="C15" s="9">
        <v>0.9</v>
      </c>
      <c r="D15" t="s">
        <v>48</v>
      </c>
      <c r="F15" t="s">
        <v>24</v>
      </c>
      <c r="G15" t="s">
        <v>52</v>
      </c>
    </row>
    <row r="16" spans="1:11" x14ac:dyDescent="0.2">
      <c r="C16" s="9">
        <v>0.75</v>
      </c>
      <c r="D16" t="s">
        <v>49</v>
      </c>
      <c r="G16" t="s">
        <v>53</v>
      </c>
    </row>
    <row r="17" spans="3:7" x14ac:dyDescent="0.2">
      <c r="C17" s="9">
        <v>0.5</v>
      </c>
      <c r="D17" t="s">
        <v>50</v>
      </c>
      <c r="G17" t="s">
        <v>54</v>
      </c>
    </row>
    <row r="18" spans="3:7" x14ac:dyDescent="0.2">
      <c r="C18" s="9">
        <v>0.25</v>
      </c>
      <c r="D18" t="s">
        <v>51</v>
      </c>
      <c r="G18" t="s">
        <v>55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E35D50-691B-0A40-B7C6-035BC5F0B7AC}">
  <sheetPr codeName="Sheet3"/>
  <dimension ref="A1:I11"/>
  <sheetViews>
    <sheetView workbookViewId="0">
      <selection activeCell="F6" sqref="F6"/>
    </sheetView>
  </sheetViews>
  <sheetFormatPr baseColWidth="10" defaultRowHeight="16" x14ac:dyDescent="0.2"/>
  <sheetData>
    <row r="1" spans="1:9" x14ac:dyDescent="0.2">
      <c r="A1" t="s">
        <v>17</v>
      </c>
      <c r="B1" t="s">
        <v>18</v>
      </c>
      <c r="C1" t="s">
        <v>19</v>
      </c>
      <c r="D1" t="s">
        <v>20</v>
      </c>
      <c r="E1" t="s">
        <v>21</v>
      </c>
      <c r="F1" t="s">
        <v>22</v>
      </c>
      <c r="G1" t="s">
        <v>23</v>
      </c>
      <c r="H1" t="s">
        <v>24</v>
      </c>
      <c r="I1" t="s">
        <v>25</v>
      </c>
    </row>
    <row r="2" spans="1:9" x14ac:dyDescent="0.2">
      <c r="A2">
        <v>1</v>
      </c>
      <c r="B2" t="s">
        <v>26</v>
      </c>
      <c r="C2" t="s">
        <v>27</v>
      </c>
      <c r="D2" t="s">
        <v>45</v>
      </c>
      <c r="E2">
        <v>90</v>
      </c>
      <c r="G2">
        <v>5000000</v>
      </c>
    </row>
    <row r="3" spans="1:9" x14ac:dyDescent="0.2">
      <c r="A3">
        <v>2</v>
      </c>
      <c r="B3" t="s">
        <v>10</v>
      </c>
      <c r="C3" t="s">
        <v>28</v>
      </c>
      <c r="D3" t="s">
        <v>45</v>
      </c>
      <c r="E3">
        <v>90</v>
      </c>
      <c r="G3">
        <v>6000000</v>
      </c>
    </row>
    <row r="4" spans="1:9" x14ac:dyDescent="0.2">
      <c r="A4">
        <v>3</v>
      </c>
      <c r="B4" t="s">
        <v>29</v>
      </c>
      <c r="C4" t="s">
        <v>30</v>
      </c>
      <c r="D4" t="s">
        <v>46</v>
      </c>
      <c r="E4">
        <v>85</v>
      </c>
      <c r="G4">
        <v>10000000</v>
      </c>
    </row>
    <row r="5" spans="1:9" x14ac:dyDescent="0.2">
      <c r="A5">
        <v>4</v>
      </c>
      <c r="B5" t="s">
        <v>31</v>
      </c>
      <c r="C5" t="s">
        <v>32</v>
      </c>
      <c r="D5" t="s">
        <v>45</v>
      </c>
      <c r="E5">
        <v>80</v>
      </c>
      <c r="G5">
        <v>10000000</v>
      </c>
    </row>
    <row r="6" spans="1:9" x14ac:dyDescent="0.2">
      <c r="A6">
        <v>5</v>
      </c>
      <c r="B6" t="s">
        <v>33</v>
      </c>
      <c r="C6" t="s">
        <v>34</v>
      </c>
      <c r="D6" t="s">
        <v>46</v>
      </c>
      <c r="E6">
        <v>87</v>
      </c>
      <c r="G6">
        <v>7000000</v>
      </c>
    </row>
    <row r="7" spans="1:9" x14ac:dyDescent="0.2">
      <c r="A7">
        <v>6</v>
      </c>
      <c r="B7" t="s">
        <v>35</v>
      </c>
      <c r="C7" t="s">
        <v>36</v>
      </c>
      <c r="D7" t="s">
        <v>46</v>
      </c>
      <c r="E7">
        <v>70</v>
      </c>
      <c r="G7">
        <v>8000000</v>
      </c>
    </row>
    <row r="8" spans="1:9" x14ac:dyDescent="0.2">
      <c r="A8">
        <v>7</v>
      </c>
      <c r="B8" t="s">
        <v>37</v>
      </c>
      <c r="C8" t="s">
        <v>38</v>
      </c>
      <c r="D8" t="s">
        <v>46</v>
      </c>
      <c r="E8">
        <v>60</v>
      </c>
      <c r="G8">
        <v>6000000</v>
      </c>
    </row>
    <row r="9" spans="1:9" x14ac:dyDescent="0.2">
      <c r="A9">
        <v>8</v>
      </c>
      <c r="B9" t="s">
        <v>39</v>
      </c>
      <c r="C9" t="s">
        <v>40</v>
      </c>
      <c r="D9" t="s">
        <v>45</v>
      </c>
      <c r="E9">
        <v>85</v>
      </c>
      <c r="G9">
        <v>5000000</v>
      </c>
    </row>
    <row r="10" spans="1:9" x14ac:dyDescent="0.2">
      <c r="A10">
        <v>9</v>
      </c>
      <c r="B10" t="s">
        <v>41</v>
      </c>
      <c r="C10" t="s">
        <v>42</v>
      </c>
      <c r="D10" t="s">
        <v>45</v>
      </c>
      <c r="E10">
        <v>79</v>
      </c>
      <c r="G10">
        <v>5000000</v>
      </c>
    </row>
    <row r="11" spans="1:9" x14ac:dyDescent="0.2">
      <c r="A11">
        <v>10</v>
      </c>
      <c r="B11" t="s">
        <v>43</v>
      </c>
      <c r="C11" t="s">
        <v>44</v>
      </c>
      <c r="D11" t="s">
        <v>45</v>
      </c>
      <c r="E11">
        <v>90</v>
      </c>
      <c r="G11">
        <v>10000000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Anas Azhar</dc:creator>
  <cp:lastModifiedBy>Anas Azhar</cp:lastModifiedBy>
  <dcterms:created xsi:type="dcterms:W3CDTF">2022-04-01T00:22:00Z</dcterms:created>
  <dcterms:modified xsi:type="dcterms:W3CDTF">2022-04-22T05:56:54Z</dcterms:modified>
</cp:coreProperties>
</file>